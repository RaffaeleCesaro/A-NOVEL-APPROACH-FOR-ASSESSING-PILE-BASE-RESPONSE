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R:\Temp One Drive\Articolo simplified numerical approach\"/>
    </mc:Choice>
  </mc:AlternateContent>
  <xr:revisionPtr revIDLastSave="0" documentId="13_ncr:1_{E1BF9915-C978-4103-B380-48CA63C80B1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1" l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" i="1"/>
  <c r="L42" i="1"/>
  <c r="L43" i="1" s="1"/>
  <c r="L44" i="1" s="1"/>
  <c r="L6" i="1"/>
  <c r="L7" i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5" i="1"/>
  <c r="J12" i="1"/>
  <c r="J4" i="1"/>
  <c r="J5" i="1" s="1"/>
  <c r="J7" i="1" s="1"/>
  <c r="J9" i="1" l="1"/>
  <c r="J11" i="1" s="1"/>
  <c r="J13" i="1"/>
  <c r="J15" i="1" s="1"/>
  <c r="J6" i="1"/>
  <c r="J8" i="1" s="1"/>
  <c r="J10" i="1" s="1"/>
  <c r="J14" i="1" s="1"/>
  <c r="N8" i="1" l="1"/>
  <c r="O8" i="1" s="1"/>
  <c r="N16" i="1"/>
  <c r="O16" i="1" s="1"/>
  <c r="N24" i="1"/>
  <c r="O24" i="1" s="1"/>
  <c r="N32" i="1"/>
  <c r="O32" i="1" s="1"/>
  <c r="N40" i="1"/>
  <c r="O40" i="1" s="1"/>
  <c r="N27" i="1"/>
  <c r="O27" i="1" s="1"/>
  <c r="N43" i="1"/>
  <c r="O43" i="1" s="1"/>
  <c r="N20" i="1"/>
  <c r="O20" i="1" s="1"/>
  <c r="N28" i="1"/>
  <c r="O28" i="1" s="1"/>
  <c r="N44" i="1"/>
  <c r="O44" i="1" s="1"/>
  <c r="N29" i="1"/>
  <c r="O29" i="1" s="1"/>
  <c r="N4" i="1"/>
  <c r="O4" i="1" s="1"/>
  <c r="N31" i="1"/>
  <c r="O31" i="1" s="1"/>
  <c r="N9" i="1"/>
  <c r="O9" i="1" s="1"/>
  <c r="N17" i="1"/>
  <c r="O17" i="1" s="1"/>
  <c r="N25" i="1"/>
  <c r="O25" i="1" s="1"/>
  <c r="N33" i="1"/>
  <c r="O33" i="1" s="1"/>
  <c r="N41" i="1"/>
  <c r="O41" i="1" s="1"/>
  <c r="N30" i="1"/>
  <c r="O30" i="1" s="1"/>
  <c r="N7" i="1"/>
  <c r="O7" i="1" s="1"/>
  <c r="N39" i="1"/>
  <c r="O39" i="1" s="1"/>
  <c r="N10" i="1"/>
  <c r="O10" i="1" s="1"/>
  <c r="N18" i="1"/>
  <c r="O18" i="1" s="1"/>
  <c r="N26" i="1"/>
  <c r="O26" i="1" s="1"/>
  <c r="N34" i="1"/>
  <c r="O34" i="1" s="1"/>
  <c r="N42" i="1"/>
  <c r="O42" i="1" s="1"/>
  <c r="N12" i="1"/>
  <c r="O12" i="1" s="1"/>
  <c r="N36" i="1"/>
  <c r="O36" i="1" s="1"/>
  <c r="N21" i="1"/>
  <c r="O21" i="1" s="1"/>
  <c r="N22" i="1"/>
  <c r="O22" i="1" s="1"/>
  <c r="N15" i="1"/>
  <c r="O15" i="1" s="1"/>
  <c r="N11" i="1"/>
  <c r="O11" i="1" s="1"/>
  <c r="N19" i="1"/>
  <c r="O19" i="1" s="1"/>
  <c r="N35" i="1"/>
  <c r="O35" i="1" s="1"/>
  <c r="N5" i="1"/>
  <c r="O5" i="1" s="1"/>
  <c r="N13" i="1"/>
  <c r="O13" i="1" s="1"/>
  <c r="N37" i="1"/>
  <c r="O37" i="1" s="1"/>
  <c r="N6" i="1"/>
  <c r="O6" i="1" s="1"/>
  <c r="N14" i="1"/>
  <c r="O14" i="1" s="1"/>
  <c r="N38" i="1"/>
  <c r="O38" i="1" s="1"/>
  <c r="N23" i="1"/>
  <c r="O23" i="1" s="1"/>
</calcChain>
</file>

<file path=xl/sharedStrings.xml><?xml version="1.0" encoding="utf-8"?>
<sst xmlns="http://schemas.openxmlformats.org/spreadsheetml/2006/main" count="47" uniqueCount="44">
  <si>
    <t>R:\Temp One Drive\Articolo simplified numerical approach\Numerical_model_ExcelCode.m</t>
  </si>
  <si>
    <t>d [m]</t>
  </si>
  <si>
    <t>pile diameter</t>
  </si>
  <si>
    <t>vertical effective stress</t>
  </si>
  <si>
    <t>relative density</t>
  </si>
  <si>
    <t>maximum void ratio</t>
  </si>
  <si>
    <t>minimum void ratio</t>
  </si>
  <si>
    <t>coefficient of earth pressure at rest</t>
  </si>
  <si>
    <t>Soil shear stiffness</t>
  </si>
  <si>
    <t>Poisson's ratio</t>
  </si>
  <si>
    <t>ν</t>
  </si>
  <si>
    <t>Maximum load</t>
  </si>
  <si>
    <t>number of steps</t>
  </si>
  <si>
    <t>critical state friction angle</t>
  </si>
  <si>
    <t>Q [MN]</t>
  </si>
  <si>
    <t>w [m]</t>
  </si>
  <si>
    <t>w/d [%]</t>
  </si>
  <si>
    <t>BCI</t>
  </si>
  <si>
    <t>OCR</t>
  </si>
  <si>
    <t>Overconsolidation ratio</t>
  </si>
  <si>
    <t>χ</t>
  </si>
  <si>
    <t>Input data</t>
  </si>
  <si>
    <r>
      <rPr>
        <b/>
        <sz val="11"/>
        <color theme="0"/>
        <rFont val="Arial Nova Cond"/>
        <family val="2"/>
      </rPr>
      <t>σ</t>
    </r>
    <r>
      <rPr>
        <b/>
        <sz val="11"/>
        <color theme="0"/>
        <rFont val="Arial Nova Cond Light"/>
        <family val="2"/>
      </rPr>
      <t>'</t>
    </r>
    <r>
      <rPr>
        <b/>
        <vertAlign val="subscript"/>
        <sz val="11"/>
        <color theme="0"/>
        <rFont val="Arial Nova Cond Light"/>
        <family val="2"/>
      </rPr>
      <t>v0</t>
    </r>
    <r>
      <rPr>
        <b/>
        <sz val="11"/>
        <color theme="0"/>
        <rFont val="Arial Nova Cond Light"/>
        <family val="2"/>
      </rPr>
      <t xml:space="preserve"> [MPa]</t>
    </r>
  </si>
  <si>
    <r>
      <t>D</t>
    </r>
    <r>
      <rPr>
        <b/>
        <vertAlign val="subscript"/>
        <sz val="11"/>
        <color theme="0"/>
        <rFont val="Arial Nova Cond Light"/>
        <family val="2"/>
      </rPr>
      <t>R</t>
    </r>
    <r>
      <rPr>
        <b/>
        <sz val="11"/>
        <color theme="0"/>
        <rFont val="Arial Nova Cond Light"/>
        <family val="2"/>
      </rPr>
      <t xml:space="preserve"> [-]</t>
    </r>
  </si>
  <si>
    <r>
      <t>e</t>
    </r>
    <r>
      <rPr>
        <b/>
        <vertAlign val="subscript"/>
        <sz val="11"/>
        <color theme="0"/>
        <rFont val="Arial Nova Cond Light"/>
        <family val="2"/>
      </rPr>
      <t>max</t>
    </r>
  </si>
  <si>
    <r>
      <t>e</t>
    </r>
    <r>
      <rPr>
        <b/>
        <vertAlign val="subscript"/>
        <sz val="11"/>
        <color theme="0"/>
        <rFont val="Arial Nova Cond Light"/>
        <family val="2"/>
      </rPr>
      <t>min</t>
    </r>
  </si>
  <si>
    <r>
      <rPr>
        <b/>
        <sz val="11"/>
        <color theme="0"/>
        <rFont val="Arial Nova Cond"/>
        <family val="2"/>
      </rPr>
      <t>φ</t>
    </r>
    <r>
      <rPr>
        <b/>
        <vertAlign val="subscript"/>
        <sz val="11"/>
        <color theme="0"/>
        <rFont val="Arial Nova Cond Light"/>
        <family val="2"/>
      </rPr>
      <t>cv</t>
    </r>
  </si>
  <si>
    <r>
      <t>k</t>
    </r>
    <r>
      <rPr>
        <b/>
        <vertAlign val="subscript"/>
        <sz val="11"/>
        <color theme="0"/>
        <rFont val="Arial Nova Cond Light"/>
        <family val="2"/>
      </rPr>
      <t>0</t>
    </r>
  </si>
  <si>
    <r>
      <t>G</t>
    </r>
    <r>
      <rPr>
        <b/>
        <vertAlign val="subscript"/>
        <sz val="11"/>
        <color theme="0"/>
        <rFont val="Arial Nova Cond Light"/>
        <family val="2"/>
      </rPr>
      <t>0</t>
    </r>
    <r>
      <rPr>
        <b/>
        <sz val="11"/>
        <color theme="0"/>
        <rFont val="Arial Nova Cond Light"/>
        <family val="2"/>
      </rPr>
      <t xml:space="preserve"> [MPa]</t>
    </r>
  </si>
  <si>
    <r>
      <t>Q</t>
    </r>
    <r>
      <rPr>
        <b/>
        <vertAlign val="subscript"/>
        <sz val="11"/>
        <color theme="0"/>
        <rFont val="Arial Nova Cond Light"/>
        <family val="2"/>
      </rPr>
      <t>max</t>
    </r>
    <r>
      <rPr>
        <b/>
        <sz val="11"/>
        <color theme="0"/>
        <rFont val="Arial Nova Cond Light"/>
        <family val="2"/>
      </rPr>
      <t xml:space="preserve"> [MN]</t>
    </r>
  </si>
  <si>
    <r>
      <t>N</t>
    </r>
    <r>
      <rPr>
        <b/>
        <vertAlign val="subscript"/>
        <sz val="11"/>
        <color theme="0"/>
        <rFont val="Arial Nova Cond Light"/>
        <family val="2"/>
      </rPr>
      <t>steps</t>
    </r>
  </si>
  <si>
    <t>Simplified expressions</t>
  </si>
  <si>
    <r>
      <t>p'</t>
    </r>
    <r>
      <rPr>
        <b/>
        <vertAlign val="subscript"/>
        <sz val="11"/>
        <color theme="0"/>
        <rFont val="Arial Nova Cond Light"/>
        <family val="2"/>
      </rPr>
      <t>0</t>
    </r>
    <r>
      <rPr>
        <b/>
        <sz val="11"/>
        <color theme="0"/>
        <rFont val="Arial Nova Cond Light"/>
        <family val="2"/>
      </rPr>
      <t xml:space="preserve"> [MPa]</t>
    </r>
  </si>
  <si>
    <r>
      <t>N</t>
    </r>
    <r>
      <rPr>
        <b/>
        <vertAlign val="subscript"/>
        <sz val="11"/>
        <color theme="0"/>
        <rFont val="Arial Nova Cond"/>
        <family val="2"/>
      </rPr>
      <t>σ</t>
    </r>
    <r>
      <rPr>
        <b/>
        <sz val="11"/>
        <color theme="0"/>
        <rFont val="Arial Nova Cond Light"/>
        <family val="2"/>
      </rPr>
      <t>(w/d = 5%)</t>
    </r>
  </si>
  <si>
    <r>
      <t>N</t>
    </r>
    <r>
      <rPr>
        <b/>
        <vertAlign val="subscript"/>
        <sz val="11"/>
        <color theme="0"/>
        <rFont val="Arial Nova Cond"/>
        <family val="2"/>
      </rPr>
      <t>σ</t>
    </r>
    <r>
      <rPr>
        <b/>
        <sz val="11"/>
        <color theme="0"/>
        <rFont val="Arial Nova Cond Light"/>
        <family val="2"/>
      </rPr>
      <t>(w/d = 10%)</t>
    </r>
  </si>
  <si>
    <r>
      <t>q</t>
    </r>
    <r>
      <rPr>
        <b/>
        <vertAlign val="subscript"/>
        <sz val="11"/>
        <color theme="0"/>
        <rFont val="Arial Nova Cond Light"/>
        <family val="2"/>
      </rPr>
      <t>b</t>
    </r>
    <r>
      <rPr>
        <b/>
        <sz val="11"/>
        <color theme="0"/>
        <rFont val="Arial Nova Cond Light"/>
        <family val="2"/>
      </rPr>
      <t xml:space="preserve"> [MPa](w/d = 5%)</t>
    </r>
  </si>
  <si>
    <r>
      <t>q</t>
    </r>
    <r>
      <rPr>
        <b/>
        <vertAlign val="subscript"/>
        <sz val="11"/>
        <color theme="0"/>
        <rFont val="Arial Nova Cond Light"/>
        <family val="2"/>
      </rPr>
      <t>b</t>
    </r>
    <r>
      <rPr>
        <b/>
        <sz val="11"/>
        <color theme="0"/>
        <rFont val="Arial Nova Cond Light"/>
        <family val="2"/>
      </rPr>
      <t xml:space="preserve"> [MPa](w/d = 10%)</t>
    </r>
  </si>
  <si>
    <r>
      <t>Q</t>
    </r>
    <r>
      <rPr>
        <b/>
        <vertAlign val="subscript"/>
        <sz val="11"/>
        <color theme="0"/>
        <rFont val="Arial Nova Cond Light"/>
        <family val="2"/>
      </rPr>
      <t>b</t>
    </r>
    <r>
      <rPr>
        <b/>
        <sz val="11"/>
        <color theme="0"/>
        <rFont val="Arial Nova Cond Light"/>
        <family val="2"/>
      </rPr>
      <t xml:space="preserve"> [MN](w/d = 5%)</t>
    </r>
  </si>
  <si>
    <r>
      <t>Q</t>
    </r>
    <r>
      <rPr>
        <b/>
        <vertAlign val="subscript"/>
        <sz val="11"/>
        <color theme="0"/>
        <rFont val="Arial Nova Cond Light"/>
        <family val="2"/>
      </rPr>
      <t>b</t>
    </r>
    <r>
      <rPr>
        <b/>
        <sz val="11"/>
        <color theme="0"/>
        <rFont val="Arial Nova Cond Light"/>
        <family val="2"/>
      </rPr>
      <t xml:space="preserve"> [MN](w/d = 10%)</t>
    </r>
  </si>
  <si>
    <r>
      <t>K</t>
    </r>
    <r>
      <rPr>
        <b/>
        <vertAlign val="subscript"/>
        <sz val="11"/>
        <color theme="0"/>
        <rFont val="Arial Nova Cond Light"/>
        <family val="2"/>
      </rPr>
      <t>b</t>
    </r>
    <r>
      <rPr>
        <b/>
        <sz val="11"/>
        <color theme="0"/>
        <rFont val="Arial Nova Cond Light"/>
        <family val="2"/>
      </rPr>
      <t xml:space="preserve"> [MN/m]</t>
    </r>
  </si>
  <si>
    <r>
      <t>N</t>
    </r>
    <r>
      <rPr>
        <b/>
        <vertAlign val="subscript"/>
        <sz val="11"/>
        <color theme="0"/>
        <rFont val="Arial Nova Cond"/>
        <family val="2"/>
      </rPr>
      <t>σ</t>
    </r>
    <r>
      <rPr>
        <b/>
        <sz val="11"/>
        <color theme="0"/>
        <rFont val="Arial Nova Cond Light"/>
        <family val="2"/>
      </rPr>
      <t>*</t>
    </r>
  </si>
  <si>
    <r>
      <t>Q</t>
    </r>
    <r>
      <rPr>
        <b/>
        <vertAlign val="subscript"/>
        <sz val="11"/>
        <color theme="0"/>
        <rFont val="Arial Nova Cond Light"/>
        <family val="2"/>
      </rPr>
      <t>b</t>
    </r>
    <r>
      <rPr>
        <b/>
        <sz val="11"/>
        <color theme="0"/>
        <rFont val="Arial Nova Cond Light"/>
        <family val="2"/>
      </rPr>
      <t>* [MN]</t>
    </r>
  </si>
  <si>
    <r>
      <t>Q/Q</t>
    </r>
    <r>
      <rPr>
        <b/>
        <vertAlign val="subscript"/>
        <sz val="11"/>
        <color theme="0"/>
        <rFont val="Arial Nova Cond Light"/>
        <family val="2"/>
      </rPr>
      <t xml:space="preserve">max </t>
    </r>
  </si>
  <si>
    <t>R:\Temp One Drive\Articolo simplified numerical approach\results.txt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</si>
</sst>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Arial Nova Cond Light"/>
      <family val="2"/>
    </font>
    <font>
      <b/>
      <sz val="11"/>
      <color theme="0"/>
      <name val="Arial Nova Cond"/>
      <family val="2"/>
    </font>
    <font>
      <b/>
      <i/>
      <sz val="11"/>
      <color theme="5" tint="0.39997558519241921"/>
      <name val="Arial Nova Cond Light"/>
      <family val="2"/>
    </font>
    <font>
      <b/>
      <i/>
      <sz val="11"/>
      <color rgb="FF92D050"/>
      <name val="Arial Nova Cond Light"/>
      <family val="2"/>
    </font>
    <font>
      <b/>
      <i/>
      <sz val="16"/>
      <color rgb="FFFF0000"/>
      <name val="Arial Nova Cond Light"/>
      <family val="2"/>
    </font>
    <font>
      <b/>
      <sz val="11"/>
      <color theme="0"/>
      <name val="Arial Nova Cond Light"/>
      <family val="2"/>
    </font>
    <font>
      <b/>
      <vertAlign val="subscript"/>
      <sz val="11"/>
      <color theme="0"/>
      <name val="Arial Nova Cond Light"/>
      <family val="2"/>
    </font>
    <font>
      <b/>
      <i/>
      <sz val="11"/>
      <color theme="0"/>
      <name val="Arial Nova Cond Light"/>
      <family val="2"/>
    </font>
    <font>
      <b/>
      <sz val="11"/>
      <color rgb="FFFF0000"/>
      <name val="Arial Nova Cond Light"/>
      <family val="2"/>
    </font>
    <font>
      <sz val="11"/>
      <color rgb="FF00B050"/>
      <name val="Arial Nova Cond Light"/>
      <family val="2"/>
    </font>
    <font>
      <b/>
      <i/>
      <sz val="14"/>
      <color rgb="FF0066FF"/>
      <name val="Arial Nova Cond Light"/>
      <family val="2"/>
    </font>
    <font>
      <b/>
      <vertAlign val="subscript"/>
      <sz val="11"/>
      <color theme="0"/>
      <name val="Arial Nova Cond"/>
      <family val="2"/>
    </font>
    <font>
      <sz val="11"/>
      <color rgb="FF0066FF"/>
      <name val="Arial Nova Cond Light"/>
      <family val="2"/>
    </font>
    <font>
      <b/>
      <sz val="11"/>
      <color rgb="FF0066FF"/>
      <name val="Arial Nova Cond Light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66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2" fontId="14" fillId="3" borderId="5" xfId="0" applyNumberFormat="1" applyFont="1" applyFill="1" applyBorder="1" applyAlignment="1">
      <alignment horizontal="center" vertical="center"/>
    </xf>
    <xf numFmtId="2" fontId="14" fillId="3" borderId="8" xfId="0" applyNumberFormat="1" applyFont="1" applyFill="1" applyBorder="1" applyAlignment="1">
      <alignment horizontal="center" vertical="center"/>
    </xf>
    <xf numFmtId="2" fontId="6" fillId="5" borderId="0" xfId="0" applyNumberFormat="1" applyFont="1" applyFill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60885739528596"/>
          <c:y val="0.15461126917275181"/>
          <c:w val="0.77897673317966731"/>
          <c:h val="0.67365154403704708"/>
        </c:manualLayout>
      </c:layout>
      <c:scatterChart>
        <c:scatterStyle val="smoothMarker"/>
        <c:varyColors val="0"/>
        <c:ser>
          <c:idx val="0"/>
          <c:order val="0"/>
          <c:tx>
            <c:v>numerical solution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List1!$E$4:$E$5400</c:f>
              <c:numCache>
                <c:formatCode>0.00</c:formatCode>
                <c:ptCount val="5397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xVal>
          <c:yVal>
            <c:numRef>
              <c:f>List1!$G$4:$G$5400</c:f>
              <c:numCache>
                <c:formatCode>0.00</c:formatCode>
                <c:ptCount val="5397"/>
                <c:pt idx="0">
                  <c:v>0</c:v>
                </c:pt>
                <c:pt idx="1">
                  <c:v>3.2000000000000001E-2</c:v>
                </c:pt>
                <c:pt idx="2">
                  <c:v>9.0950000000000003E-2</c:v>
                </c:pt>
                <c:pt idx="3">
                  <c:v>0.16113</c:v>
                </c:pt>
                <c:pt idx="4">
                  <c:v>0.24152499999999999</c:v>
                </c:pt>
                <c:pt idx="5">
                  <c:v>0.33150200000000002</c:v>
                </c:pt>
                <c:pt idx="6">
                  <c:v>0.43073299999999998</c:v>
                </c:pt>
                <c:pt idx="7">
                  <c:v>0.53902600000000001</c:v>
                </c:pt>
                <c:pt idx="8">
                  <c:v>0.65626300000000004</c:v>
                </c:pt>
                <c:pt idx="9">
                  <c:v>0.78236799999999995</c:v>
                </c:pt>
                <c:pt idx="10">
                  <c:v>0.91728299999999996</c:v>
                </c:pt>
                <c:pt idx="11">
                  <c:v>1.0609599999999999</c:v>
                </c:pt>
                <c:pt idx="12">
                  <c:v>1.2133290000000001</c:v>
                </c:pt>
                <c:pt idx="13">
                  <c:v>1.374204</c:v>
                </c:pt>
                <c:pt idx="14">
                  <c:v>1.5432520000000001</c:v>
                </c:pt>
                <c:pt idx="15">
                  <c:v>1.720221</c:v>
                </c:pt>
                <c:pt idx="16">
                  <c:v>1.9049469999999999</c:v>
                </c:pt>
                <c:pt idx="17">
                  <c:v>2.0972330000000001</c:v>
                </c:pt>
                <c:pt idx="18">
                  <c:v>2.2969430000000002</c:v>
                </c:pt>
                <c:pt idx="19">
                  <c:v>2.5039500000000001</c:v>
                </c:pt>
                <c:pt idx="20">
                  <c:v>2.7181479999999998</c:v>
                </c:pt>
                <c:pt idx="21">
                  <c:v>2.9394010000000002</c:v>
                </c:pt>
                <c:pt idx="22">
                  <c:v>3.1675840000000002</c:v>
                </c:pt>
                <c:pt idx="23">
                  <c:v>3.4026200000000002</c:v>
                </c:pt>
                <c:pt idx="24">
                  <c:v>3.6444070000000002</c:v>
                </c:pt>
                <c:pt idx="25">
                  <c:v>3.892855</c:v>
                </c:pt>
                <c:pt idx="26">
                  <c:v>4.1478570000000001</c:v>
                </c:pt>
                <c:pt idx="27">
                  <c:v>4.4093390000000001</c:v>
                </c:pt>
                <c:pt idx="28">
                  <c:v>4.6772419999999997</c:v>
                </c:pt>
                <c:pt idx="29">
                  <c:v>4.9514719999999999</c:v>
                </c:pt>
                <c:pt idx="30">
                  <c:v>5.2319570000000004</c:v>
                </c:pt>
                <c:pt idx="31">
                  <c:v>5.5186380000000002</c:v>
                </c:pt>
                <c:pt idx="32">
                  <c:v>5.8114290000000004</c:v>
                </c:pt>
                <c:pt idx="33">
                  <c:v>6.1102720000000001</c:v>
                </c:pt>
                <c:pt idx="34">
                  <c:v>6.4150939999999999</c:v>
                </c:pt>
                <c:pt idx="35">
                  <c:v>6.7258170000000002</c:v>
                </c:pt>
                <c:pt idx="36">
                  <c:v>7.0423730000000004</c:v>
                </c:pt>
                <c:pt idx="37">
                  <c:v>7.3647070000000001</c:v>
                </c:pt>
                <c:pt idx="38">
                  <c:v>7.6927469999999998</c:v>
                </c:pt>
                <c:pt idx="39">
                  <c:v>8.0264199999999999</c:v>
                </c:pt>
                <c:pt idx="40">
                  <c:v>8.3656620000000004</c:v>
                </c:pt>
                <c:pt idx="41">
                  <c:v>8.7104140000000001</c:v>
                </c:pt>
                <c:pt idx="42">
                  <c:v>9.0606100000000005</c:v>
                </c:pt>
                <c:pt idx="43">
                  <c:v>9.4161959999999993</c:v>
                </c:pt>
                <c:pt idx="44">
                  <c:v>9.7771139999999992</c:v>
                </c:pt>
                <c:pt idx="45">
                  <c:v>10.14329</c:v>
                </c:pt>
                <c:pt idx="46">
                  <c:v>10.514658000000001</c:v>
                </c:pt>
                <c:pt idx="47">
                  <c:v>10.891157</c:v>
                </c:pt>
                <c:pt idx="48">
                  <c:v>11.272729</c:v>
                </c:pt>
                <c:pt idx="49">
                  <c:v>11.659311000000001</c:v>
                </c:pt>
                <c:pt idx="50">
                  <c:v>12.050845000000001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6F-476E-8C87-5B7F1617EF8F}"/>
            </c:ext>
          </c:extLst>
        </c:ser>
        <c:ser>
          <c:idx val="1"/>
          <c:order val="1"/>
          <c:tx>
            <c:v>empirical correlations (eqs. 21, 22)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22225">
                <a:solidFill>
                  <a:srgbClr val="FF0000"/>
                </a:solidFill>
              </a:ln>
              <a:effectLst/>
            </c:spPr>
          </c:marker>
          <c:xVal>
            <c:numRef>
              <c:f>List1!$J$10:$J$11</c:f>
              <c:numCache>
                <c:formatCode>0.00</c:formatCode>
                <c:ptCount val="2"/>
                <c:pt idx="0">
                  <c:v>0.57021419928268735</c:v>
                </c:pt>
                <c:pt idx="1">
                  <c:v>0.91234271885229989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5</c:v>
              </c:pt>
              <c:pt idx="1">
                <c:v>10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906F-476E-8C87-5B7F1617EF8F}"/>
            </c:ext>
          </c:extLst>
        </c:ser>
        <c:ser>
          <c:idx val="2"/>
          <c:order val="2"/>
          <c:tx>
            <c:v>empirical curve (eq. 23)</c:v>
          </c:tx>
          <c:spPr>
            <a:ln w="3492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List1!$M$4:$M$44</c:f>
              <c:numCache>
                <c:formatCode>0.00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xVal>
          <c:yVal>
            <c:numRef>
              <c:f>List1!$N$4:$N$44</c:f>
              <c:numCache>
                <c:formatCode>0.00</c:formatCode>
                <c:ptCount val="41"/>
                <c:pt idx="0">
                  <c:v>0</c:v>
                </c:pt>
                <c:pt idx="1">
                  <c:v>0.1010351625700848</c:v>
                </c:pt>
                <c:pt idx="2">
                  <c:v>0.22567718352364824</c:v>
                </c:pt>
                <c:pt idx="3">
                  <c:v>0.36478640865488177</c:v>
                </c:pt>
                <c:pt idx="4">
                  <c:v>0.51573556575621882</c:v>
                </c:pt>
                <c:pt idx="5">
                  <c:v>0.67715187900901908</c:v>
                </c:pt>
                <c:pt idx="6">
                  <c:v>0.84818429251883509</c:v>
                </c:pt>
                <c:pt idx="7">
                  <c:v>1.0282566463414977</c:v>
                </c:pt>
                <c:pt idx="8">
                  <c:v>1.2169580769090773</c:v>
                </c:pt>
                <c:pt idx="9">
                  <c:v>1.4139860940083937</c:v>
                </c:pt>
                <c:pt idx="10">
                  <c:v>1.619113795766415</c:v>
                </c:pt>
                <c:pt idx="11">
                  <c:v>1.8321695360309094</c:v>
                </c:pt>
                <c:pt idx="12">
                  <c:v>2.0530235917357817</c:v>
                </c:pt>
                <c:pt idx="13">
                  <c:v>2.2815790315029556</c:v>
                </c:pt>
                <c:pt idx="14">
                  <c:v>2.5177652396969141</c:v>
                </c:pt>
                <c:pt idx="15">
                  <c:v>2.7615331909979721</c:v>
                </c:pt>
                <c:pt idx="16">
                  <c:v>3.0128519199600605</c:v>
                </c:pt>
                <c:pt idx="17">
                  <c:v>3.2717058307591791</c:v>
                </c:pt>
                <c:pt idx="18">
                  <c:v>3.5380926128326315</c:v>
                </c:pt>
                <c:pt idx="19">
                  <c:v>3.8120216031775707</c:v>
                </c:pt>
                <c:pt idx="20">
                  <c:v>4.0935124843680235</c:v>
                </c:pt>
                <c:pt idx="21">
                  <c:v>4.3825942392931205</c:v>
                </c:pt>
                <c:pt idx="22">
                  <c:v>4.6793043052743313</c:v>
                </c:pt>
                <c:pt idx="23">
                  <c:v>4.9836878852223272</c:v>
                </c:pt>
                <c:pt idx="24">
                  <c:v>5.2957973840922552</c:v>
                </c:pt>
                <c:pt idx="25">
                  <c:v>5.6156919465145343</c:v>
                </c:pt>
                <c:pt idx="26">
                  <c:v>5.9434370770419953</c:v>
                </c:pt>
                <c:pt idx="27">
                  <c:v>6.2791043285762544</c:v>
                </c:pt>
                <c:pt idx="28">
                  <c:v>6.622771047630474</c:v>
                </c:pt>
                <c:pt idx="29">
                  <c:v>6.9745201674367943</c:v>
                </c:pt>
                <c:pt idx="30">
                  <c:v>7.33444004171331</c:v>
                </c:pt>
                <c:pt idx="31">
                  <c:v>7.7026243133081458</c:v>
                </c:pt>
                <c:pt idx="32">
                  <c:v>8.0791718130377284</c:v>
                </c:pt>
                <c:pt idx="33">
                  <c:v>8.4641864849066337</c:v>
                </c:pt>
                <c:pt idx="34">
                  <c:v>8.8577773345906117</c:v>
                </c:pt>
                <c:pt idx="35">
                  <c:v>9.2600583986234781</c:v>
                </c:pt>
                <c:pt idx="36">
                  <c:v>9.6711487321817078</c:v>
                </c:pt>
                <c:pt idx="37">
                  <c:v>10.091172413731437</c:v>
                </c:pt>
                <c:pt idx="38">
                  <c:v>10.520258565107607</c:v>
                </c:pt>
                <c:pt idx="39">
                  <c:v>10.958541385848777</c:v>
                </c:pt>
                <c:pt idx="40">
                  <c:v>11.406160200822841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6F-476E-8C87-5B7F1617E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382544"/>
        <c:axId val="1224369584"/>
      </c:scatterChart>
      <c:valAx>
        <c:axId val="122438254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 Nova Cond Light" panose="020B0306020202020204" pitchFamily="34" charset="0"/>
                    <a:ea typeface="+mn-ea"/>
                    <a:cs typeface="+mn-cs"/>
                  </a:defRPr>
                </a:pPr>
                <a:r>
                  <a:rPr lang="it-IT" sz="1400" b="1"/>
                  <a:t>base load, Q</a:t>
                </a:r>
                <a:r>
                  <a:rPr lang="it-IT" sz="1400" b="1" baseline="-25000"/>
                  <a:t>b</a:t>
                </a:r>
                <a:r>
                  <a:rPr lang="it-IT" sz="1400" b="1"/>
                  <a:t> [MN]</a:t>
                </a:r>
              </a:p>
            </c:rich>
          </c:tx>
          <c:layout>
            <c:manualLayout>
              <c:xMode val="edge"/>
              <c:yMode val="edge"/>
              <c:x val="0.37303819606943467"/>
              <c:y val="8.7623210077451101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Arial Nova Cond Light" panose="020B0306020202020204" pitchFamily="34" charset="0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 Nova Cond Light" panose="020B0306020202020204" pitchFamily="34" charset="0"/>
                <a:ea typeface="+mn-ea"/>
                <a:cs typeface="+mn-cs"/>
              </a:defRPr>
            </a:pPr>
            <a:endParaRPr lang="it-IT"/>
          </a:p>
        </c:txPr>
        <c:crossAx val="1224369584"/>
        <c:crosses val="autoZero"/>
        <c:crossBetween val="midCat"/>
      </c:valAx>
      <c:valAx>
        <c:axId val="1224369584"/>
        <c:scaling>
          <c:orientation val="maxMin"/>
          <c:max val="1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 Nova Cond Light" panose="020B0306020202020204" pitchFamily="34" charset="0"/>
                    <a:ea typeface="+mn-ea"/>
                    <a:cs typeface="+mn-cs"/>
                  </a:defRPr>
                </a:pPr>
                <a:r>
                  <a:rPr lang="it-IT" sz="1400" b="1"/>
                  <a:t>relative base settlement,</a:t>
                </a:r>
                <a:r>
                  <a:rPr lang="it-IT" sz="1400" b="1" baseline="0"/>
                  <a:t> w</a:t>
                </a:r>
                <a:r>
                  <a:rPr lang="it-IT" sz="1400" b="1" baseline="-25000"/>
                  <a:t>b</a:t>
                </a:r>
                <a:r>
                  <a:rPr lang="it-IT" sz="1400" b="1" baseline="0"/>
                  <a:t>/d [%]</a:t>
                </a:r>
                <a:endParaRPr lang="it-IT" sz="1400" b="1"/>
              </a:p>
            </c:rich>
          </c:tx>
          <c:layout>
            <c:manualLayout>
              <c:xMode val="edge"/>
              <c:yMode val="edge"/>
              <c:x val="3.5273378403637991E-3"/>
              <c:y val="0.286699463658561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Arial Nova Cond Light" panose="020B0306020202020204" pitchFamily="34" charset="0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 Nova Cond Light" panose="020B0306020202020204" pitchFamily="34" charset="0"/>
                <a:ea typeface="+mn-ea"/>
                <a:cs typeface="+mn-cs"/>
              </a:defRPr>
            </a:pPr>
            <a:endParaRPr lang="it-IT"/>
          </a:p>
        </c:txPr>
        <c:crossAx val="12243825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06288444713642"/>
          <c:y val="0.84885391225765194"/>
          <c:w val="0.59523881604766515"/>
          <c:h val="0.13644708942359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Arial Nova Cond Light" panose="020B0306020202020204" pitchFamily="34" charset="0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Arial Nova Cond Light" panose="020B0306020202020204" pitchFamily="34" charset="0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38100</xdr:rowOff>
        </xdr:from>
        <xdr:to>
          <xdr:col>0</xdr:col>
          <xdr:colOff>1857375</xdr:colOff>
          <xdr:row>25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1952625</xdr:colOff>
          <xdr:row>20</xdr:row>
          <xdr:rowOff>38100</xdr:rowOff>
        </xdr:from>
        <xdr:to>
          <xdr:col>2</xdr:col>
          <xdr:colOff>600075</xdr:colOff>
          <xdr:row>25</xdr:row>
          <xdr:rowOff>76200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66675</xdr:colOff>
      <xdr:row>2</xdr:row>
      <xdr:rowOff>23812</xdr:rowOff>
    </xdr:from>
    <xdr:to>
      <xdr:col>22</xdr:col>
      <xdr:colOff>123825</xdr:colOff>
      <xdr:row>24</xdr:row>
      <xdr:rowOff>123825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795B9CD-D4E7-71C9-3E5D-1FAD8C275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O54"/>
  <sheetViews>
    <sheetView tabSelected="1" zoomScaleNormal="100" workbookViewId="0">
      <selection activeCell="C6" sqref="C6"/>
    </sheetView>
  </sheetViews>
  <sheetFormatPr defaultRowHeight="14.25" x14ac:dyDescent="0.25"/>
  <cols>
    <col min="1" max="1" width="32.42578125" style="1" customWidth="1"/>
    <col min="2" max="2" width="12.5703125" style="1" bestFit="1" customWidth="1"/>
    <col min="3" max="4" width="9.140625" style="1"/>
    <col min="5" max="7" width="9.140625" style="6"/>
    <col min="8" max="8" width="9.140625" style="1"/>
    <col min="9" max="9" width="20.28515625" style="1" bestFit="1" customWidth="1"/>
    <col min="10" max="10" width="9.140625" style="2"/>
    <col min="11" max="11" width="9.140625" style="1"/>
    <col min="12" max="15" width="9.140625" style="2"/>
    <col min="16" max="16384" width="9.140625" style="1"/>
  </cols>
  <sheetData>
    <row r="1" spans="1:15" x14ac:dyDescent="0.25">
      <c r="A1" s="3" t="s">
        <v>0</v>
      </c>
    </row>
    <row r="2" spans="1:15" ht="15" thickBot="1" x14ac:dyDescent="0.3">
      <c r="A2" s="4" t="s">
        <v>43</v>
      </c>
    </row>
    <row r="3" spans="1:15" ht="20.25" x14ac:dyDescent="0.25">
      <c r="A3" s="23" t="s">
        <v>21</v>
      </c>
      <c r="B3" s="24"/>
      <c r="C3" s="25"/>
      <c r="E3" s="7" t="s">
        <v>14</v>
      </c>
      <c r="F3" s="7" t="s">
        <v>15</v>
      </c>
      <c r="G3" s="7" t="s">
        <v>16</v>
      </c>
      <c r="I3" s="26" t="s">
        <v>31</v>
      </c>
      <c r="J3" s="27"/>
      <c r="L3" s="18" t="s">
        <v>42</v>
      </c>
      <c r="M3" s="18" t="s">
        <v>14</v>
      </c>
      <c r="N3" s="18" t="s">
        <v>16</v>
      </c>
      <c r="O3" s="18" t="s">
        <v>15</v>
      </c>
    </row>
    <row r="4" spans="1:15" ht="17.25" x14ac:dyDescent="0.25">
      <c r="A4" s="8" t="s">
        <v>2</v>
      </c>
      <c r="B4" s="5" t="s">
        <v>1</v>
      </c>
      <c r="C4" s="9">
        <v>0.5</v>
      </c>
      <c r="E4" s="6">
        <v>0</v>
      </c>
      <c r="F4" s="6">
        <v>0</v>
      </c>
      <c r="G4" s="6">
        <v>0</v>
      </c>
      <c r="I4" s="13" t="s">
        <v>32</v>
      </c>
      <c r="J4" s="16">
        <f>C5*(1+2*C10)/3</f>
        <v>0.26666666666666666</v>
      </c>
      <c r="L4" s="19">
        <v>0</v>
      </c>
      <c r="M4" s="19">
        <f>L4*$C$15</f>
        <v>0</v>
      </c>
      <c r="N4" s="19">
        <f>M4/($C$4*$J$12)*(1-(M4/$J$15)^$J$14)^-1*100</f>
        <v>0</v>
      </c>
      <c r="O4" s="19">
        <f>N4/100*$C$4</f>
        <v>0</v>
      </c>
    </row>
    <row r="5" spans="1:15" ht="17.25" x14ac:dyDescent="0.25">
      <c r="A5" s="8" t="s">
        <v>3</v>
      </c>
      <c r="B5" s="5" t="s">
        <v>22</v>
      </c>
      <c r="C5" s="9">
        <v>0.4</v>
      </c>
      <c r="E5" s="6">
        <v>0.02</v>
      </c>
      <c r="F5" s="6">
        <v>1.6000000000000001E-4</v>
      </c>
      <c r="G5" s="6">
        <v>3.2000000000000001E-2</v>
      </c>
      <c r="I5" s="13" t="s">
        <v>17</v>
      </c>
      <c r="J5" s="16">
        <f>(C11/J4)*TAN(RADIANS(C9))^0.5*C6^0.4*C13^0.25</f>
        <v>232.27980576595127</v>
      </c>
      <c r="L5" s="19">
        <f>L4+0.025</f>
        <v>2.5000000000000001E-2</v>
      </c>
      <c r="M5" s="19">
        <f t="shared" ref="M5:M44" si="0">L5*$C$15</f>
        <v>2.5000000000000001E-2</v>
      </c>
      <c r="N5" s="19">
        <f t="shared" ref="N5:N44" si="1">M5/($C$4*$J$12)*(1-(M5/$J$15)^$J$14)^-1*100</f>
        <v>0.1010351625700848</v>
      </c>
      <c r="O5" s="19">
        <f t="shared" ref="O5:O44" si="2">N5/100*$C$4</f>
        <v>5.0517581285042397E-4</v>
      </c>
    </row>
    <row r="6" spans="1:15" ht="17.25" x14ac:dyDescent="0.25">
      <c r="A6" s="8" t="s">
        <v>4</v>
      </c>
      <c r="B6" s="5" t="s">
        <v>23</v>
      </c>
      <c r="C6" s="9">
        <v>0.6</v>
      </c>
      <c r="E6" s="6">
        <v>0.04</v>
      </c>
      <c r="F6" s="6">
        <v>4.55E-4</v>
      </c>
      <c r="G6" s="6">
        <v>9.0950000000000003E-2</v>
      </c>
      <c r="I6" s="13" t="s">
        <v>33</v>
      </c>
      <c r="J6" s="16">
        <f>0.125*J5^0.82</f>
        <v>10.890289012443214</v>
      </c>
      <c r="L6" s="19">
        <f t="shared" ref="L6:L44" si="3">L5+0.025</f>
        <v>0.05</v>
      </c>
      <c r="M6" s="19">
        <f t="shared" si="0"/>
        <v>0.05</v>
      </c>
      <c r="N6" s="19">
        <f t="shared" si="1"/>
        <v>0.22567718352364824</v>
      </c>
      <c r="O6" s="19">
        <f t="shared" si="2"/>
        <v>1.1283859176182411E-3</v>
      </c>
    </row>
    <row r="7" spans="1:15" ht="17.25" x14ac:dyDescent="0.25">
      <c r="A7" s="8" t="s">
        <v>5</v>
      </c>
      <c r="B7" s="5" t="s">
        <v>24</v>
      </c>
      <c r="C7" s="9">
        <v>0.78</v>
      </c>
      <c r="E7" s="6">
        <v>0.06</v>
      </c>
      <c r="F7" s="6">
        <v>8.0599999999999997E-4</v>
      </c>
      <c r="G7" s="6">
        <v>0.16113</v>
      </c>
      <c r="I7" s="13" t="s">
        <v>34</v>
      </c>
      <c r="J7" s="16">
        <f>0.2*J5^0.82</f>
        <v>17.424462419909144</v>
      </c>
      <c r="L7" s="19">
        <f t="shared" si="3"/>
        <v>7.5000000000000011E-2</v>
      </c>
      <c r="M7" s="19">
        <f t="shared" si="0"/>
        <v>7.5000000000000011E-2</v>
      </c>
      <c r="N7" s="19">
        <f t="shared" si="1"/>
        <v>0.36478640865488177</v>
      </c>
      <c r="O7" s="19">
        <f t="shared" si="2"/>
        <v>1.8239320432744089E-3</v>
      </c>
    </row>
    <row r="8" spans="1:15" ht="17.25" x14ac:dyDescent="0.25">
      <c r="A8" s="8" t="s">
        <v>6</v>
      </c>
      <c r="B8" s="5" t="s">
        <v>25</v>
      </c>
      <c r="C8" s="9">
        <v>0.46</v>
      </c>
      <c r="E8" s="6">
        <v>0.08</v>
      </c>
      <c r="F8" s="6">
        <v>1.2080000000000001E-3</v>
      </c>
      <c r="G8" s="6">
        <v>0.24152499999999999</v>
      </c>
      <c r="I8" s="13" t="s">
        <v>35</v>
      </c>
      <c r="J8" s="16">
        <f>J6*J4</f>
        <v>2.904077069984857</v>
      </c>
      <c r="L8" s="19">
        <f t="shared" si="3"/>
        <v>0.1</v>
      </c>
      <c r="M8" s="19">
        <f t="shared" si="0"/>
        <v>0.1</v>
      </c>
      <c r="N8" s="19">
        <f t="shared" si="1"/>
        <v>0.51573556575621882</v>
      </c>
      <c r="O8" s="19">
        <f t="shared" si="2"/>
        <v>2.5786778287810942E-3</v>
      </c>
    </row>
    <row r="9" spans="1:15" ht="17.25" x14ac:dyDescent="0.25">
      <c r="A9" s="8" t="s">
        <v>13</v>
      </c>
      <c r="B9" s="5" t="s">
        <v>26</v>
      </c>
      <c r="C9" s="9">
        <v>30</v>
      </c>
      <c r="E9" s="6">
        <v>0.1</v>
      </c>
      <c r="F9" s="6">
        <v>1.658E-3</v>
      </c>
      <c r="G9" s="6">
        <v>0.33150200000000002</v>
      </c>
      <c r="I9" s="13" t="s">
        <v>36</v>
      </c>
      <c r="J9" s="16">
        <f>J7*J4</f>
        <v>4.6465233119757716</v>
      </c>
      <c r="L9" s="19">
        <f t="shared" si="3"/>
        <v>0.125</v>
      </c>
      <c r="M9" s="19">
        <f t="shared" si="0"/>
        <v>0.125</v>
      </c>
      <c r="N9" s="19">
        <f t="shared" si="1"/>
        <v>0.67715187900901908</v>
      </c>
      <c r="O9" s="19">
        <f t="shared" si="2"/>
        <v>3.3857593950450955E-3</v>
      </c>
    </row>
    <row r="10" spans="1:15" ht="17.25" x14ac:dyDescent="0.25">
      <c r="A10" s="8" t="s">
        <v>7</v>
      </c>
      <c r="B10" s="5" t="s">
        <v>27</v>
      </c>
      <c r="C10" s="9">
        <v>0.5</v>
      </c>
      <c r="E10" s="6">
        <v>0.12</v>
      </c>
      <c r="F10" s="6">
        <v>2.1540000000000001E-3</v>
      </c>
      <c r="G10" s="6">
        <v>0.43073299999999998</v>
      </c>
      <c r="I10" s="13" t="s">
        <v>37</v>
      </c>
      <c r="J10" s="16">
        <f>J8*PI()*C4^2/4</f>
        <v>0.57021419928268735</v>
      </c>
      <c r="L10" s="19">
        <f t="shared" si="3"/>
        <v>0.15</v>
      </c>
      <c r="M10" s="19">
        <f t="shared" si="0"/>
        <v>0.15</v>
      </c>
      <c r="N10" s="19">
        <f t="shared" si="1"/>
        <v>0.84818429251883509</v>
      </c>
      <c r="O10" s="19">
        <f t="shared" si="2"/>
        <v>4.2409214625941756E-3</v>
      </c>
    </row>
    <row r="11" spans="1:15" ht="17.25" x14ac:dyDescent="0.25">
      <c r="A11" s="8" t="s">
        <v>8</v>
      </c>
      <c r="B11" s="5" t="s">
        <v>28</v>
      </c>
      <c r="C11" s="9">
        <v>100</v>
      </c>
      <c r="E11" s="6">
        <v>0.14000000000000001</v>
      </c>
      <c r="F11" s="6">
        <v>2.6949999999999999E-3</v>
      </c>
      <c r="G11" s="6">
        <v>0.53902600000000001</v>
      </c>
      <c r="I11" s="13" t="s">
        <v>38</v>
      </c>
      <c r="J11" s="16">
        <f>J9*PI()*C4^2/4</f>
        <v>0.91234271885229989</v>
      </c>
      <c r="L11" s="19">
        <f t="shared" si="3"/>
        <v>0.17499999999999999</v>
      </c>
      <c r="M11" s="19">
        <f t="shared" si="0"/>
        <v>0.17499999999999999</v>
      </c>
      <c r="N11" s="19">
        <f t="shared" si="1"/>
        <v>1.0282566463414977</v>
      </c>
      <c r="O11" s="19">
        <f t="shared" si="2"/>
        <v>5.1412832317074882E-3</v>
      </c>
    </row>
    <row r="12" spans="1:15" ht="17.25" x14ac:dyDescent="0.25">
      <c r="A12" s="8" t="s">
        <v>9</v>
      </c>
      <c r="B12" s="5" t="s">
        <v>10</v>
      </c>
      <c r="C12" s="9">
        <v>0.2</v>
      </c>
      <c r="E12" s="6">
        <v>0.16</v>
      </c>
      <c r="F12" s="6">
        <v>3.2810000000000001E-3</v>
      </c>
      <c r="G12" s="6">
        <v>0.65626300000000004</v>
      </c>
      <c r="I12" s="13" t="s">
        <v>39</v>
      </c>
      <c r="J12" s="16">
        <f>2*C4*C11/(1-C12)</f>
        <v>125</v>
      </c>
      <c r="L12" s="19">
        <f t="shared" si="3"/>
        <v>0.19999999999999998</v>
      </c>
      <c r="M12" s="19">
        <f t="shared" si="0"/>
        <v>0.19999999999999998</v>
      </c>
      <c r="N12" s="19">
        <f t="shared" si="1"/>
        <v>1.2169580769090773</v>
      </c>
      <c r="O12" s="19">
        <f t="shared" si="2"/>
        <v>6.0847903845453865E-3</v>
      </c>
    </row>
    <row r="13" spans="1:15" ht="17.25" x14ac:dyDescent="0.25">
      <c r="A13" s="8" t="s">
        <v>19</v>
      </c>
      <c r="B13" s="5" t="s">
        <v>18</v>
      </c>
      <c r="C13" s="9">
        <v>1</v>
      </c>
      <c r="E13" s="6">
        <v>0.18</v>
      </c>
      <c r="F13" s="6">
        <v>3.9119999999999997E-3</v>
      </c>
      <c r="G13" s="6">
        <v>0.78236799999999995</v>
      </c>
      <c r="I13" s="13" t="s">
        <v>40</v>
      </c>
      <c r="J13" s="16">
        <f>6.5*J7^0.93</f>
        <v>92.723878151037098</v>
      </c>
      <c r="L13" s="19">
        <f t="shared" si="3"/>
        <v>0.22499999999999998</v>
      </c>
      <c r="M13" s="19">
        <f t="shared" si="0"/>
        <v>0.22499999999999998</v>
      </c>
      <c r="N13" s="19">
        <f t="shared" si="1"/>
        <v>1.4139860940083937</v>
      </c>
      <c r="O13" s="19">
        <f t="shared" si="2"/>
        <v>7.0699304700419683E-3</v>
      </c>
    </row>
    <row r="14" spans="1:15" x14ac:dyDescent="0.25">
      <c r="A14" s="20"/>
      <c r="B14" s="21"/>
      <c r="C14" s="22"/>
      <c r="E14" s="6">
        <v>0.2</v>
      </c>
      <c r="F14" s="6">
        <v>4.5859999999999998E-3</v>
      </c>
      <c r="G14" s="6">
        <v>0.91728299999999996</v>
      </c>
      <c r="I14" s="14" t="s">
        <v>20</v>
      </c>
      <c r="J14" s="16">
        <f>25*(J10/(C4*J12))^1.185</f>
        <v>9.5659311559614102E-2</v>
      </c>
      <c r="L14" s="19">
        <f t="shared" si="3"/>
        <v>0.24999999999999997</v>
      </c>
      <c r="M14" s="19">
        <f t="shared" si="0"/>
        <v>0.24999999999999997</v>
      </c>
      <c r="N14" s="19">
        <f t="shared" si="1"/>
        <v>1.619113795766415</v>
      </c>
      <c r="O14" s="19">
        <f t="shared" si="2"/>
        <v>8.0955689788320753E-3</v>
      </c>
    </row>
    <row r="15" spans="1:15" ht="18" thickBot="1" x14ac:dyDescent="0.3">
      <c r="A15" s="8" t="s">
        <v>11</v>
      </c>
      <c r="B15" s="5" t="s">
        <v>29</v>
      </c>
      <c r="C15" s="9">
        <v>1</v>
      </c>
      <c r="E15" s="6">
        <v>0.22</v>
      </c>
      <c r="F15" s="6">
        <v>5.3049999999999998E-3</v>
      </c>
      <c r="G15" s="6">
        <v>1.0609599999999999</v>
      </c>
      <c r="I15" s="15" t="s">
        <v>41</v>
      </c>
      <c r="J15" s="17">
        <f>J13*J4*PI()*C4^2/4</f>
        <v>4.8550109068608878</v>
      </c>
      <c r="L15" s="19">
        <f t="shared" si="3"/>
        <v>0.27499999999999997</v>
      </c>
      <c r="M15" s="19">
        <f t="shared" si="0"/>
        <v>0.27499999999999997</v>
      </c>
      <c r="N15" s="19">
        <f t="shared" si="1"/>
        <v>1.8321695360309094</v>
      </c>
      <c r="O15" s="19">
        <f t="shared" si="2"/>
        <v>9.160847680154547E-3</v>
      </c>
    </row>
    <row r="16" spans="1:15" ht="18" thickBot="1" x14ac:dyDescent="0.3">
      <c r="A16" s="10" t="s">
        <v>12</v>
      </c>
      <c r="B16" s="11" t="s">
        <v>30</v>
      </c>
      <c r="C16" s="12">
        <v>50</v>
      </c>
      <c r="E16" s="6">
        <v>0.24</v>
      </c>
      <c r="F16" s="6">
        <v>6.0670000000000003E-3</v>
      </c>
      <c r="G16" s="6">
        <v>1.2133290000000001</v>
      </c>
      <c r="L16" s="19">
        <f t="shared" si="3"/>
        <v>0.3</v>
      </c>
      <c r="M16" s="19">
        <f t="shared" si="0"/>
        <v>0.3</v>
      </c>
      <c r="N16" s="19">
        <f t="shared" si="1"/>
        <v>2.0530235917357817</v>
      </c>
      <c r="O16" s="19">
        <f t="shared" si="2"/>
        <v>1.026511795867891E-2</v>
      </c>
    </row>
    <row r="17" spans="5:15" x14ac:dyDescent="0.25">
      <c r="E17" s="6">
        <v>0.26</v>
      </c>
      <c r="F17" s="6">
        <v>6.8710000000000004E-3</v>
      </c>
      <c r="G17" s="6">
        <v>1.374204</v>
      </c>
      <c r="L17" s="19">
        <f t="shared" si="3"/>
        <v>0.32500000000000001</v>
      </c>
      <c r="M17" s="19">
        <f t="shared" si="0"/>
        <v>0.32500000000000001</v>
      </c>
      <c r="N17" s="19">
        <f t="shared" si="1"/>
        <v>2.2815790315029556</v>
      </c>
      <c r="O17" s="19">
        <f t="shared" si="2"/>
        <v>1.1407895157514778E-2</v>
      </c>
    </row>
    <row r="18" spans="5:15" x14ac:dyDescent="0.25">
      <c r="E18" s="6">
        <v>0.28000000000000003</v>
      </c>
      <c r="F18" s="6">
        <v>7.7159999999999998E-3</v>
      </c>
      <c r="G18" s="6">
        <v>1.5432520000000001</v>
      </c>
      <c r="L18" s="19">
        <f t="shared" si="3"/>
        <v>0.35000000000000003</v>
      </c>
      <c r="M18" s="19">
        <f t="shared" si="0"/>
        <v>0.35000000000000003</v>
      </c>
      <c r="N18" s="19">
        <f t="shared" si="1"/>
        <v>2.5177652396969141</v>
      </c>
      <c r="O18" s="19">
        <f t="shared" si="2"/>
        <v>1.258882619848457E-2</v>
      </c>
    </row>
    <row r="19" spans="5:15" x14ac:dyDescent="0.25">
      <c r="E19" s="6">
        <v>0.3</v>
      </c>
      <c r="F19" s="6">
        <v>8.6009999999999993E-3</v>
      </c>
      <c r="G19" s="6">
        <v>1.720221</v>
      </c>
      <c r="L19" s="19">
        <f t="shared" si="3"/>
        <v>0.37500000000000006</v>
      </c>
      <c r="M19" s="19">
        <f t="shared" si="0"/>
        <v>0.37500000000000006</v>
      </c>
      <c r="N19" s="19">
        <f t="shared" si="1"/>
        <v>2.7615331909979721</v>
      </c>
      <c r="O19" s="19">
        <f t="shared" si="2"/>
        <v>1.380766595498986E-2</v>
      </c>
    </row>
    <row r="20" spans="5:15" x14ac:dyDescent="0.25">
      <c r="E20" s="6">
        <v>0.32</v>
      </c>
      <c r="F20" s="6">
        <v>9.5250000000000005E-3</v>
      </c>
      <c r="G20" s="6">
        <v>1.9049469999999999</v>
      </c>
      <c r="L20" s="19">
        <f t="shared" si="3"/>
        <v>0.40000000000000008</v>
      </c>
      <c r="M20" s="19">
        <f t="shared" si="0"/>
        <v>0.40000000000000008</v>
      </c>
      <c r="N20" s="19">
        <f t="shared" si="1"/>
        <v>3.0128519199600605</v>
      </c>
      <c r="O20" s="19">
        <f t="shared" si="2"/>
        <v>1.5064259599800303E-2</v>
      </c>
    </row>
    <row r="21" spans="5:15" x14ac:dyDescent="0.25">
      <c r="E21" s="6">
        <v>0.34</v>
      </c>
      <c r="F21" s="6">
        <v>1.0486000000000001E-2</v>
      </c>
      <c r="G21" s="6">
        <v>2.0972330000000001</v>
      </c>
      <c r="L21" s="19">
        <f t="shared" si="3"/>
        <v>0.4250000000000001</v>
      </c>
      <c r="M21" s="19">
        <f t="shared" si="0"/>
        <v>0.4250000000000001</v>
      </c>
      <c r="N21" s="19">
        <f t="shared" si="1"/>
        <v>3.2717058307591791</v>
      </c>
      <c r="O21" s="19">
        <f t="shared" si="2"/>
        <v>1.6358529153795896E-2</v>
      </c>
    </row>
    <row r="22" spans="5:15" x14ac:dyDescent="0.25">
      <c r="E22" s="6">
        <v>0.36</v>
      </c>
      <c r="F22" s="6">
        <v>1.1485E-2</v>
      </c>
      <c r="G22" s="6">
        <v>2.2969430000000002</v>
      </c>
      <c r="L22" s="19">
        <f t="shared" si="3"/>
        <v>0.45000000000000012</v>
      </c>
      <c r="M22" s="19">
        <f t="shared" si="0"/>
        <v>0.45000000000000012</v>
      </c>
      <c r="N22" s="19">
        <f t="shared" si="1"/>
        <v>3.5380926128326315</v>
      </c>
      <c r="O22" s="19">
        <f t="shared" si="2"/>
        <v>1.7690463064163157E-2</v>
      </c>
    </row>
    <row r="23" spans="5:15" x14ac:dyDescent="0.25">
      <c r="E23" s="6">
        <v>0.38</v>
      </c>
      <c r="F23" s="6">
        <v>1.252E-2</v>
      </c>
      <c r="G23" s="6">
        <v>2.5039500000000001</v>
      </c>
      <c r="L23" s="19">
        <f t="shared" si="3"/>
        <v>0.47500000000000014</v>
      </c>
      <c r="M23" s="19">
        <f t="shared" si="0"/>
        <v>0.47500000000000014</v>
      </c>
      <c r="N23" s="19">
        <f t="shared" si="1"/>
        <v>3.8120216031775707</v>
      </c>
      <c r="O23" s="19">
        <f t="shared" si="2"/>
        <v>1.9060108015887853E-2</v>
      </c>
    </row>
    <row r="24" spans="5:15" x14ac:dyDescent="0.25">
      <c r="E24" s="6">
        <v>0.4</v>
      </c>
      <c r="F24" s="6">
        <v>1.3591000000000001E-2</v>
      </c>
      <c r="G24" s="6">
        <v>2.7181479999999998</v>
      </c>
      <c r="L24" s="19">
        <f t="shared" si="3"/>
        <v>0.50000000000000011</v>
      </c>
      <c r="M24" s="19">
        <f t="shared" si="0"/>
        <v>0.50000000000000011</v>
      </c>
      <c r="N24" s="19">
        <f t="shared" si="1"/>
        <v>4.0935124843680235</v>
      </c>
      <c r="O24" s="19">
        <f t="shared" si="2"/>
        <v>2.0467562421840117E-2</v>
      </c>
    </row>
    <row r="25" spans="5:15" x14ac:dyDescent="0.25">
      <c r="E25" s="6">
        <v>0.42</v>
      </c>
      <c r="F25" s="6">
        <v>1.4697E-2</v>
      </c>
      <c r="G25" s="6">
        <v>2.9394010000000002</v>
      </c>
      <c r="L25" s="19">
        <f t="shared" si="3"/>
        <v>0.52500000000000013</v>
      </c>
      <c r="M25" s="19">
        <f t="shared" si="0"/>
        <v>0.52500000000000013</v>
      </c>
      <c r="N25" s="19">
        <f t="shared" si="1"/>
        <v>4.3825942392931205</v>
      </c>
      <c r="O25" s="19">
        <f t="shared" si="2"/>
        <v>2.1912971196465604E-2</v>
      </c>
    </row>
    <row r="26" spans="5:15" x14ac:dyDescent="0.25">
      <c r="E26" s="6">
        <v>0.44</v>
      </c>
      <c r="F26" s="6">
        <v>1.5838000000000001E-2</v>
      </c>
      <c r="G26" s="6">
        <v>3.1675840000000002</v>
      </c>
      <c r="L26" s="19">
        <f t="shared" si="3"/>
        <v>0.55000000000000016</v>
      </c>
      <c r="M26" s="19">
        <f t="shared" si="0"/>
        <v>0.55000000000000016</v>
      </c>
      <c r="N26" s="19">
        <f t="shared" si="1"/>
        <v>4.6793043052743313</v>
      </c>
      <c r="O26" s="19">
        <f t="shared" si="2"/>
        <v>2.3396521526371658E-2</v>
      </c>
    </row>
    <row r="27" spans="5:15" x14ac:dyDescent="0.25">
      <c r="E27" s="6">
        <v>0.46</v>
      </c>
      <c r="F27" s="6">
        <v>1.7013E-2</v>
      </c>
      <c r="G27" s="6">
        <v>3.4026200000000002</v>
      </c>
      <c r="L27" s="19">
        <f t="shared" si="3"/>
        <v>0.57500000000000018</v>
      </c>
      <c r="M27" s="19">
        <f t="shared" si="0"/>
        <v>0.57500000000000018</v>
      </c>
      <c r="N27" s="19">
        <f t="shared" si="1"/>
        <v>4.9836878852223272</v>
      </c>
      <c r="O27" s="19">
        <f t="shared" si="2"/>
        <v>2.4918439426111636E-2</v>
      </c>
    </row>
    <row r="28" spans="5:15" x14ac:dyDescent="0.25">
      <c r="E28" s="6">
        <v>0.48</v>
      </c>
      <c r="F28" s="6">
        <v>1.8221999999999999E-2</v>
      </c>
      <c r="G28" s="6">
        <v>3.6444070000000002</v>
      </c>
      <c r="L28" s="19">
        <f t="shared" si="3"/>
        <v>0.6000000000000002</v>
      </c>
      <c r="M28" s="19">
        <f t="shared" si="0"/>
        <v>0.6000000000000002</v>
      </c>
      <c r="N28" s="19">
        <f t="shared" si="1"/>
        <v>5.2957973840922552</v>
      </c>
      <c r="O28" s="19">
        <f t="shared" si="2"/>
        <v>2.6478986920461276E-2</v>
      </c>
    </row>
    <row r="29" spans="5:15" x14ac:dyDescent="0.25">
      <c r="E29" s="6">
        <v>0.5</v>
      </c>
      <c r="F29" s="6">
        <v>1.9463999999999999E-2</v>
      </c>
      <c r="G29" s="6">
        <v>3.892855</v>
      </c>
      <c r="L29" s="19">
        <f t="shared" si="3"/>
        <v>0.62500000000000022</v>
      </c>
      <c r="M29" s="19">
        <f t="shared" si="0"/>
        <v>0.62500000000000022</v>
      </c>
      <c r="N29" s="19">
        <f t="shared" si="1"/>
        <v>5.6156919465145343</v>
      </c>
      <c r="O29" s="19">
        <f t="shared" si="2"/>
        <v>2.8078459732572673E-2</v>
      </c>
    </row>
    <row r="30" spans="5:15" x14ac:dyDescent="0.25">
      <c r="E30" s="6">
        <v>0.52</v>
      </c>
      <c r="F30" s="6">
        <v>2.0739E-2</v>
      </c>
      <c r="G30" s="6">
        <v>4.1478570000000001</v>
      </c>
      <c r="L30" s="19">
        <f t="shared" si="3"/>
        <v>0.65000000000000024</v>
      </c>
      <c r="M30" s="19">
        <f t="shared" si="0"/>
        <v>0.65000000000000024</v>
      </c>
      <c r="N30" s="19">
        <f t="shared" si="1"/>
        <v>5.9434370770419953</v>
      </c>
      <c r="O30" s="19">
        <f t="shared" si="2"/>
        <v>2.9717185385209975E-2</v>
      </c>
    </row>
    <row r="31" spans="5:15" x14ac:dyDescent="0.25">
      <c r="E31" s="6">
        <v>0.54</v>
      </c>
      <c r="F31" s="6">
        <v>2.2047000000000001E-2</v>
      </c>
      <c r="G31" s="6">
        <v>4.4093390000000001</v>
      </c>
      <c r="L31" s="19">
        <f t="shared" si="3"/>
        <v>0.67500000000000027</v>
      </c>
      <c r="M31" s="19">
        <f t="shared" si="0"/>
        <v>0.67500000000000027</v>
      </c>
      <c r="N31" s="19">
        <f t="shared" si="1"/>
        <v>6.2791043285762544</v>
      </c>
      <c r="O31" s="19">
        <f t="shared" si="2"/>
        <v>3.1395521642881272E-2</v>
      </c>
    </row>
    <row r="32" spans="5:15" x14ac:dyDescent="0.25">
      <c r="E32" s="6">
        <v>0.56000000000000005</v>
      </c>
      <c r="F32" s="6">
        <v>2.3386000000000001E-2</v>
      </c>
      <c r="G32" s="6">
        <v>4.6772419999999997</v>
      </c>
      <c r="L32" s="19">
        <f t="shared" si="3"/>
        <v>0.70000000000000029</v>
      </c>
      <c r="M32" s="19">
        <f t="shared" si="0"/>
        <v>0.70000000000000029</v>
      </c>
      <c r="N32" s="19">
        <f t="shared" si="1"/>
        <v>6.622771047630474</v>
      </c>
      <c r="O32" s="19">
        <f t="shared" si="2"/>
        <v>3.311385523815237E-2</v>
      </c>
    </row>
    <row r="33" spans="5:15" x14ac:dyDescent="0.25">
      <c r="E33" s="6">
        <v>0.57999999999999996</v>
      </c>
      <c r="F33" s="6">
        <v>2.4757000000000001E-2</v>
      </c>
      <c r="G33" s="6">
        <v>4.9514719999999999</v>
      </c>
      <c r="L33" s="19">
        <f t="shared" si="3"/>
        <v>0.72500000000000031</v>
      </c>
      <c r="M33" s="19">
        <f t="shared" si="0"/>
        <v>0.72500000000000031</v>
      </c>
      <c r="N33" s="19">
        <f t="shared" si="1"/>
        <v>6.9745201674367943</v>
      </c>
      <c r="O33" s="19">
        <f t="shared" si="2"/>
        <v>3.4872600837183972E-2</v>
      </c>
    </row>
    <row r="34" spans="5:15" x14ac:dyDescent="0.25">
      <c r="E34" s="6">
        <v>0.6</v>
      </c>
      <c r="F34" s="6">
        <v>2.6159999999999999E-2</v>
      </c>
      <c r="G34" s="6">
        <v>5.2319570000000004</v>
      </c>
      <c r="L34" s="19">
        <f t="shared" si="3"/>
        <v>0.75000000000000033</v>
      </c>
      <c r="M34" s="19">
        <f t="shared" si="0"/>
        <v>0.75000000000000033</v>
      </c>
      <c r="N34" s="19">
        <f t="shared" si="1"/>
        <v>7.33444004171331</v>
      </c>
      <c r="O34" s="19">
        <f t="shared" si="2"/>
        <v>3.6672200208566548E-2</v>
      </c>
    </row>
    <row r="35" spans="5:15" x14ac:dyDescent="0.25">
      <c r="E35" s="6">
        <v>0.62</v>
      </c>
      <c r="F35" s="6">
        <v>2.7592999999999999E-2</v>
      </c>
      <c r="G35" s="6">
        <v>5.5186380000000002</v>
      </c>
      <c r="L35" s="19">
        <f t="shared" si="3"/>
        <v>0.77500000000000036</v>
      </c>
      <c r="M35" s="19">
        <f t="shared" si="0"/>
        <v>0.77500000000000036</v>
      </c>
      <c r="N35" s="19">
        <f t="shared" si="1"/>
        <v>7.7026243133081458</v>
      </c>
      <c r="O35" s="19">
        <f t="shared" si="2"/>
        <v>3.8513121566540728E-2</v>
      </c>
    </row>
    <row r="36" spans="5:15" x14ac:dyDescent="0.25">
      <c r="E36" s="6">
        <v>0.64</v>
      </c>
      <c r="F36" s="6">
        <v>2.9056999999999999E-2</v>
      </c>
      <c r="G36" s="6">
        <v>5.8114290000000004</v>
      </c>
      <c r="L36" s="19">
        <f t="shared" si="3"/>
        <v>0.80000000000000038</v>
      </c>
      <c r="M36" s="19">
        <f t="shared" si="0"/>
        <v>0.80000000000000038</v>
      </c>
      <c r="N36" s="19">
        <f t="shared" si="1"/>
        <v>8.0791718130377284</v>
      </c>
      <c r="O36" s="19">
        <f t="shared" si="2"/>
        <v>4.0395859065188638E-2</v>
      </c>
    </row>
    <row r="37" spans="5:15" x14ac:dyDescent="0.25">
      <c r="E37" s="6">
        <v>0.66</v>
      </c>
      <c r="F37" s="6">
        <v>3.0550999999999998E-2</v>
      </c>
      <c r="G37" s="6">
        <v>6.1102720000000001</v>
      </c>
      <c r="L37" s="19">
        <f t="shared" si="3"/>
        <v>0.8250000000000004</v>
      </c>
      <c r="M37" s="19">
        <f t="shared" si="0"/>
        <v>0.8250000000000004</v>
      </c>
      <c r="N37" s="19">
        <f t="shared" si="1"/>
        <v>8.4641864849066337</v>
      </c>
      <c r="O37" s="19">
        <f t="shared" si="2"/>
        <v>4.2320932424533171E-2</v>
      </c>
    </row>
    <row r="38" spans="5:15" x14ac:dyDescent="0.25">
      <c r="E38" s="6">
        <v>0.68</v>
      </c>
      <c r="F38" s="6">
        <v>3.2074999999999999E-2</v>
      </c>
      <c r="G38" s="6">
        <v>6.4150939999999999</v>
      </c>
      <c r="L38" s="19">
        <f t="shared" si="3"/>
        <v>0.85000000000000042</v>
      </c>
      <c r="M38" s="19">
        <f t="shared" si="0"/>
        <v>0.85000000000000042</v>
      </c>
      <c r="N38" s="19">
        <f t="shared" si="1"/>
        <v>8.8577773345906117</v>
      </c>
      <c r="O38" s="19">
        <f t="shared" si="2"/>
        <v>4.4288886672953061E-2</v>
      </c>
    </row>
    <row r="39" spans="5:15" x14ac:dyDescent="0.25">
      <c r="E39" s="6">
        <v>0.7</v>
      </c>
      <c r="F39" s="6">
        <v>3.3628999999999999E-2</v>
      </c>
      <c r="G39" s="6">
        <v>6.7258170000000002</v>
      </c>
      <c r="L39" s="19">
        <f t="shared" si="3"/>
        <v>0.87500000000000044</v>
      </c>
      <c r="M39" s="19">
        <f t="shared" si="0"/>
        <v>0.87500000000000044</v>
      </c>
      <c r="N39" s="19">
        <f t="shared" si="1"/>
        <v>9.2600583986234781</v>
      </c>
      <c r="O39" s="19">
        <f t="shared" si="2"/>
        <v>4.6300291993117387E-2</v>
      </c>
    </row>
    <row r="40" spans="5:15" x14ac:dyDescent="0.25">
      <c r="E40" s="6">
        <v>0.72</v>
      </c>
      <c r="F40" s="6">
        <v>3.5212E-2</v>
      </c>
      <c r="G40" s="6">
        <v>7.0423730000000004</v>
      </c>
      <c r="L40" s="19">
        <f t="shared" si="3"/>
        <v>0.90000000000000047</v>
      </c>
      <c r="M40" s="19">
        <f t="shared" si="0"/>
        <v>0.90000000000000047</v>
      </c>
      <c r="N40" s="19">
        <f t="shared" si="1"/>
        <v>9.6711487321817078</v>
      </c>
      <c r="O40" s="19">
        <f t="shared" si="2"/>
        <v>4.8355743660908536E-2</v>
      </c>
    </row>
    <row r="41" spans="5:15" x14ac:dyDescent="0.25">
      <c r="E41" s="6">
        <v>0.74</v>
      </c>
      <c r="F41" s="6">
        <v>3.6824000000000003E-2</v>
      </c>
      <c r="G41" s="6">
        <v>7.3647070000000001</v>
      </c>
      <c r="L41" s="19">
        <f t="shared" si="3"/>
        <v>0.92500000000000049</v>
      </c>
      <c r="M41" s="19">
        <f t="shared" si="0"/>
        <v>0.92500000000000049</v>
      </c>
      <c r="N41" s="19">
        <f t="shared" si="1"/>
        <v>10.091172413731437</v>
      </c>
      <c r="O41" s="19">
        <f t="shared" si="2"/>
        <v>5.0455862068657181E-2</v>
      </c>
    </row>
    <row r="42" spans="5:15" x14ac:dyDescent="0.25">
      <c r="E42" s="6">
        <v>0.76</v>
      </c>
      <c r="F42" s="6">
        <v>3.8463999999999998E-2</v>
      </c>
      <c r="G42" s="6">
        <v>7.6927469999999998</v>
      </c>
      <c r="L42" s="19">
        <f>L41+0.025</f>
        <v>0.95000000000000051</v>
      </c>
      <c r="M42" s="19">
        <f t="shared" si="0"/>
        <v>0.95000000000000051</v>
      </c>
      <c r="N42" s="19">
        <f t="shared" si="1"/>
        <v>10.520258565107607</v>
      </c>
      <c r="O42" s="19">
        <f t="shared" si="2"/>
        <v>5.2601292825538035E-2</v>
      </c>
    </row>
    <row r="43" spans="5:15" x14ac:dyDescent="0.25">
      <c r="E43" s="6">
        <v>0.78</v>
      </c>
      <c r="F43" s="6">
        <v>4.0132000000000001E-2</v>
      </c>
      <c r="G43" s="6">
        <v>8.0264199999999999</v>
      </c>
      <c r="L43" s="19">
        <f t="shared" si="3"/>
        <v>0.97500000000000053</v>
      </c>
      <c r="M43" s="19">
        <f t="shared" si="0"/>
        <v>0.97500000000000053</v>
      </c>
      <c r="N43" s="19">
        <f t="shared" si="1"/>
        <v>10.958541385848777</v>
      </c>
      <c r="O43" s="19">
        <f t="shared" si="2"/>
        <v>5.4792706929243887E-2</v>
      </c>
    </row>
    <row r="44" spans="5:15" x14ac:dyDescent="0.25">
      <c r="E44" s="6">
        <v>0.8</v>
      </c>
      <c r="F44" s="6">
        <v>4.1827999999999997E-2</v>
      </c>
      <c r="G44" s="6">
        <v>8.3656620000000004</v>
      </c>
      <c r="L44" s="19">
        <f t="shared" si="3"/>
        <v>1.0000000000000004</v>
      </c>
      <c r="M44" s="19">
        <f t="shared" si="0"/>
        <v>1.0000000000000004</v>
      </c>
      <c r="N44" s="19">
        <f t="shared" si="1"/>
        <v>11.406160200822841</v>
      </c>
      <c r="O44" s="19">
        <f t="shared" si="2"/>
        <v>5.7030801004114201E-2</v>
      </c>
    </row>
    <row r="45" spans="5:15" x14ac:dyDescent="0.25">
      <c r="E45" s="6">
        <v>0.82</v>
      </c>
      <c r="F45" s="6">
        <v>4.3552E-2</v>
      </c>
      <c r="G45" s="6">
        <v>8.7104140000000001</v>
      </c>
    </row>
    <row r="46" spans="5:15" x14ac:dyDescent="0.25">
      <c r="E46" s="6">
        <v>0.84</v>
      </c>
      <c r="F46" s="6">
        <v>4.5303000000000003E-2</v>
      </c>
      <c r="G46" s="6">
        <v>9.0606100000000005</v>
      </c>
    </row>
    <row r="47" spans="5:15" x14ac:dyDescent="0.25">
      <c r="E47" s="6">
        <v>0.86</v>
      </c>
      <c r="F47" s="6">
        <v>4.7080999999999998E-2</v>
      </c>
      <c r="G47" s="6">
        <v>9.4161959999999993</v>
      </c>
    </row>
    <row r="48" spans="5:15" x14ac:dyDescent="0.25">
      <c r="E48" s="6">
        <v>0.88</v>
      </c>
      <c r="F48" s="6">
        <v>4.8885999999999999E-2</v>
      </c>
      <c r="G48" s="6">
        <v>9.7771139999999992</v>
      </c>
    </row>
    <row r="49" spans="5:7" x14ac:dyDescent="0.25">
      <c r="E49" s="6">
        <v>0.9</v>
      </c>
      <c r="F49" s="6">
        <v>5.0715999999999997E-2</v>
      </c>
      <c r="G49" s="6">
        <v>10.14329</v>
      </c>
    </row>
    <row r="50" spans="5:7" x14ac:dyDescent="0.25">
      <c r="E50" s="6">
        <v>0.92</v>
      </c>
      <c r="F50" s="6">
        <v>5.2573000000000002E-2</v>
      </c>
      <c r="G50" s="6">
        <v>10.514658000000001</v>
      </c>
    </row>
    <row r="51" spans="5:7" x14ac:dyDescent="0.25">
      <c r="E51" s="6">
        <v>0.94</v>
      </c>
      <c r="F51" s="6">
        <v>5.4455999999999997E-2</v>
      </c>
      <c r="G51" s="6">
        <v>10.891157</v>
      </c>
    </row>
    <row r="52" spans="5:7" x14ac:dyDescent="0.25">
      <c r="E52" s="6">
        <v>0.96</v>
      </c>
      <c r="F52" s="6">
        <v>5.6363999999999997E-2</v>
      </c>
      <c r="G52" s="6">
        <v>11.272729</v>
      </c>
    </row>
    <row r="53" spans="5:7" x14ac:dyDescent="0.25">
      <c r="E53" s="6">
        <v>0.98</v>
      </c>
      <c r="F53" s="6">
        <v>5.8297000000000002E-2</v>
      </c>
      <c r="G53" s="6">
        <v>11.659311000000001</v>
      </c>
    </row>
    <row r="54" spans="5:7" x14ac:dyDescent="0.25">
      <c r="E54" s="6">
        <v>1</v>
      </c>
      <c r="F54" s="6">
        <v>6.0254000000000002E-2</v>
      </c>
      <c r="G54" s="6">
        <v>12.050845000000001</v>
      </c>
    </row>
  </sheetData>
  <mergeCells count="3">
    <mergeCell ref="A14:C14"/>
    <mergeCell ref="A3:C3"/>
    <mergeCell ref="I3:J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2">
          <controlPr defaultSize="0" autoLine="0" autoPict="0" r:id="rId4">
            <anchor moveWithCells="1">
              <from>
                <xdr:col>0</xdr:col>
                <xdr:colOff>1952625</xdr:colOff>
                <xdr:row>20</xdr:row>
                <xdr:rowOff>38100</xdr:rowOff>
              </from>
              <to>
                <xdr:col>2</xdr:col>
                <xdr:colOff>600075</xdr:colOff>
                <xdr:row>25</xdr:row>
                <xdr:rowOff>76200</xdr:rowOff>
              </to>
            </anchor>
          </controlPr>
        </control>
      </mc:Choice>
      <mc:Fallback>
        <control shapeId="1027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0</xdr:col>
                <xdr:colOff>314325</xdr:colOff>
                <xdr:row>20</xdr:row>
                <xdr:rowOff>38100</xdr:rowOff>
              </from>
              <to>
                <xdr:col>0</xdr:col>
                <xdr:colOff>1857375</xdr:colOff>
                <xdr:row>25</xdr:row>
                <xdr:rowOff>85725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Raffaele Cesaro</dc:creator>
  <cp:lastModifiedBy>Raffaele Cesaro</cp:lastModifiedBy>
  <dcterms:created xsi:type="dcterms:W3CDTF">2015-06-05T18:19:34Z</dcterms:created>
  <dcterms:modified xsi:type="dcterms:W3CDTF">2025-05-09T07:39:56Z</dcterms:modified>
</cp:coreProperties>
</file>